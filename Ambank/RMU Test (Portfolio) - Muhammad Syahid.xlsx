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32.1.51\e$\SYAHID\"/>
    </mc:Choice>
  </mc:AlternateContent>
  <xr:revisionPtr revIDLastSave="0" documentId="13_ncr:1_{C1A90280-B71E-408A-A1FE-90A9A021FEB4}" xr6:coauthVersionLast="47" xr6:coauthVersionMax="47" xr10:uidLastSave="{00000000-0000-0000-0000-000000000000}"/>
  <bookViews>
    <workbookView xWindow="-120" yWindow="-16320" windowWidth="29040" windowHeight="15720" xr2:uid="{F23D31CF-DE44-4116-8A7F-68F51EA556C9}"/>
  </bookViews>
  <sheets>
    <sheet name="Credit Test 1 (Answered)" sheetId="1" r:id="rId1"/>
    <sheet name="Credit Test 2 (Data) " sheetId="2" r:id="rId2"/>
    <sheet name="Credit Test 2 (Answered) 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3" l="1"/>
  <c r="N21" i="3"/>
  <c r="O35" i="3"/>
  <c r="P27" i="3"/>
  <c r="O19" i="3"/>
  <c r="O10" i="3"/>
  <c r="L14" i="3"/>
</calcChain>
</file>

<file path=xl/sharedStrings.xml><?xml version="1.0" encoding="utf-8"?>
<sst xmlns="http://schemas.openxmlformats.org/spreadsheetml/2006/main" count="558" uniqueCount="106">
  <si>
    <t>1) Provide three (3) early warning triggers for credit-distressed customers.</t>
  </si>
  <si>
    <t>Credit Test 1 (Portfolio Management)</t>
  </si>
  <si>
    <t>3) With the recent geopolitical instability in the Middle East, provide two (2) sectors that are negatively impacted and provide reasons.</t>
  </si>
  <si>
    <t xml:space="preserve">4) 	Name four (4) collaterals generally acceptable to a Bank. </t>
  </si>
  <si>
    <t xml:space="preserve">5) What is an Event of Default? Give two (2) examples. </t>
  </si>
  <si>
    <t>2) How can the Bank remediate a distressed Corporate Customer with an existing trade finance facility?</t>
  </si>
  <si>
    <t>Age</t>
  </si>
  <si>
    <t>House</t>
  </si>
  <si>
    <t>Allergy</t>
  </si>
  <si>
    <t>Race</t>
  </si>
  <si>
    <t>Birth Month</t>
  </si>
  <si>
    <t>Aminah</t>
  </si>
  <si>
    <t>Vinoo</t>
  </si>
  <si>
    <t xml:space="preserve">Ali </t>
  </si>
  <si>
    <t>Chong</t>
  </si>
  <si>
    <t>Amirul</t>
  </si>
  <si>
    <t>Siva</t>
  </si>
  <si>
    <t>Mugen</t>
  </si>
  <si>
    <t>Abu</t>
  </si>
  <si>
    <t>No</t>
  </si>
  <si>
    <t>Azri</t>
  </si>
  <si>
    <t>Danial</t>
  </si>
  <si>
    <t>Muthu</t>
  </si>
  <si>
    <t>Zhen</t>
  </si>
  <si>
    <t>Lim</t>
  </si>
  <si>
    <t>Hadi</t>
  </si>
  <si>
    <t>Eunice</t>
  </si>
  <si>
    <t>Gender</t>
  </si>
  <si>
    <t>Female</t>
  </si>
  <si>
    <t>Male</t>
  </si>
  <si>
    <t>Diana</t>
  </si>
  <si>
    <t>Farah</t>
  </si>
  <si>
    <t>Rose</t>
  </si>
  <si>
    <t>Alina</t>
  </si>
  <si>
    <t>Red</t>
  </si>
  <si>
    <t>Blue</t>
  </si>
  <si>
    <t>Green</t>
  </si>
  <si>
    <t>Yellow</t>
  </si>
  <si>
    <t>Malay</t>
  </si>
  <si>
    <t>Indian</t>
  </si>
  <si>
    <t>Chinese</t>
  </si>
  <si>
    <t>Sarah</t>
  </si>
  <si>
    <t>Nuts</t>
  </si>
  <si>
    <t>Dairy</t>
  </si>
  <si>
    <t>Seafood</t>
  </si>
  <si>
    <t>Kuala Lumpur</t>
  </si>
  <si>
    <t>Selangor</t>
  </si>
  <si>
    <t>Perak</t>
  </si>
  <si>
    <t>Johor</t>
  </si>
  <si>
    <t>Negeri Sembilan</t>
  </si>
  <si>
    <t>Melaka</t>
  </si>
  <si>
    <t>January</t>
  </si>
  <si>
    <t>February</t>
  </si>
  <si>
    <t>March</t>
  </si>
  <si>
    <t xml:space="preserve">May </t>
  </si>
  <si>
    <t>June</t>
  </si>
  <si>
    <t>July</t>
  </si>
  <si>
    <t>August</t>
  </si>
  <si>
    <t>December</t>
  </si>
  <si>
    <t>September</t>
  </si>
  <si>
    <t>November</t>
  </si>
  <si>
    <t>School Branch</t>
  </si>
  <si>
    <t>Aisya</t>
  </si>
  <si>
    <t>Sabrina</t>
  </si>
  <si>
    <t>Kasturi</t>
  </si>
  <si>
    <t>Aaron</t>
  </si>
  <si>
    <t>Leong</t>
  </si>
  <si>
    <t>Amir</t>
  </si>
  <si>
    <t>Soraya</t>
  </si>
  <si>
    <t>Suresh</t>
  </si>
  <si>
    <t>Aizat</t>
  </si>
  <si>
    <t>Daisy</t>
  </si>
  <si>
    <t>State of Birth</t>
  </si>
  <si>
    <t>Damansara</t>
  </si>
  <si>
    <t>Melawati</t>
  </si>
  <si>
    <t>Teacher</t>
  </si>
  <si>
    <t>Dina</t>
  </si>
  <si>
    <t>Alex</t>
  </si>
  <si>
    <t>Mira</t>
  </si>
  <si>
    <t>Aiman</t>
  </si>
  <si>
    <t>Student Name</t>
  </si>
  <si>
    <t>3) Filter the the pivot table by Gender.</t>
  </si>
  <si>
    <t xml:space="preserve">2) Provide the Average Age of students for each House. </t>
  </si>
  <si>
    <t>Pivot Table</t>
  </si>
  <si>
    <t>Credit Test 2 (Excel)</t>
  </si>
  <si>
    <t xml:space="preserve">Xlookup </t>
  </si>
  <si>
    <t xml:space="preserve">1) Fill in the yellow boxes using Xlookup function. </t>
  </si>
  <si>
    <t>1)  Tabulate the data by Name, House and Age using Pivot Table.</t>
  </si>
  <si>
    <t>Grand Total</t>
  </si>
  <si>
    <t>Sum of Age</t>
  </si>
  <si>
    <t>Total</t>
  </si>
  <si>
    <t>Average of Age</t>
  </si>
  <si>
    <t>i) Weakening financial performance by customers</t>
  </si>
  <si>
    <t>ii) Repayment behaviour deteriorating by customers</t>
  </si>
  <si>
    <t>iii) Adverse business or change industry developments by customers</t>
  </si>
  <si>
    <t>i) Aviation/Airlines Sector because airspace restrictions, flight cancellation and higher fuel cost</t>
  </si>
  <si>
    <t>ii) Shipping/Logistics Sector because create supply chain bottlenecks, increase transportation costs and delay cargo movements</t>
  </si>
  <si>
    <r>
      <t xml:space="preserve">i) The Bank should assess the root cause of the customer's distress and determine whether the business remains viable. If the difficulties is temporary, the bank can consider </t>
    </r>
    <r>
      <rPr>
        <b/>
        <sz val="11"/>
        <color theme="1"/>
        <rFont val="Aptos Narrow"/>
        <family val="2"/>
        <scheme val="minor"/>
      </rPr>
      <t>restructuring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rescheduling</t>
    </r>
    <r>
      <rPr>
        <sz val="11"/>
        <color theme="1"/>
        <rFont val="Aptos Narrow"/>
        <family val="2"/>
        <scheme val="minor"/>
      </rPr>
      <t xml:space="preserve"> to improve cash flow. </t>
    </r>
  </si>
  <si>
    <r>
      <t>ii) The bank should</t>
    </r>
    <r>
      <rPr>
        <b/>
        <sz val="11"/>
        <color theme="1"/>
        <rFont val="Aptos Narrow"/>
        <family val="2"/>
        <scheme val="minor"/>
      </rPr>
      <t xml:space="preserve"> strengthen monitoring</t>
    </r>
    <r>
      <rPr>
        <sz val="11"/>
        <color theme="1"/>
        <rFont val="Aptos Narrow"/>
        <family val="2"/>
        <scheme val="minor"/>
      </rPr>
      <t xml:space="preserve"> through more frequent financial reviews, covenant monitoring, and collateral reassessment. </t>
    </r>
  </si>
  <si>
    <r>
      <t xml:space="preserve">iii) For customers whose financial condition continues to deteriorate, the bank should limit further exposure, strengthen recovery efforts, and take appropriate </t>
    </r>
    <r>
      <rPr>
        <b/>
        <sz val="11"/>
        <color theme="1"/>
        <rFont val="Aptos Narrow"/>
        <family val="2"/>
        <scheme val="minor"/>
      </rPr>
      <t>legal</t>
    </r>
    <r>
      <rPr>
        <sz val="11"/>
        <color theme="1"/>
        <rFont val="Aptos Narrow"/>
        <family val="2"/>
        <scheme val="minor"/>
      </rPr>
      <t xml:space="preserve"> or enforcement actions.</t>
    </r>
  </si>
  <si>
    <t>i) Property/Real Estate</t>
  </si>
  <si>
    <t>ii) Cash Collateral/Fixed Deposits</t>
  </si>
  <si>
    <t>iii) Business Assets/Machinery</t>
  </si>
  <si>
    <t>iv) Marketable Securities</t>
  </si>
  <si>
    <t>i. Failure to pay as per scheduled repayment</t>
  </si>
  <si>
    <t>ii. Breach of financial covenants in maintaining required DSR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</si>
</sst>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64" fontId="0" fillId="0" borderId="0" xfId="1" applyNumberFormat="1" applyFont="1"/>
    <xf numFmtId="164" fontId="0" fillId="0" borderId="0" xfId="1" applyNumberFormat="1" applyFont="1" applyAlignment="1">
      <alignment horizontal="left" vertical="center" wrapText="1"/>
    </xf>
    <xf numFmtId="164" fontId="0" fillId="0" borderId="0" xfId="0" applyNumberFormat="1"/>
    <xf numFmtId="0" fontId="0" fillId="2" borderId="0" xfId="0" applyFill="1"/>
    <xf numFmtId="0" fontId="0" fillId="2" borderId="0" xfId="0" applyFill="1" applyAlignment="1">
      <alignment horizontal="justify" vertical="center"/>
    </xf>
  </cellXfs>
  <cellStyles count="2">
    <cellStyle name="Comma" xfId="1" builtinId="3"/>
    <cellStyle name="Normal" xfId="0" builtinId="0"/>
  </cellStyles>
  <dxfs count="10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Syahid Bin Abd Halid" refreshedDate="46219.676927777778" createdVersion="8" refreshedVersion="8" minRefreshableVersion="3" recordCount="30" xr:uid="{2561D9DE-AF97-4B3F-9688-89C930BD982F}">
  <cacheSource type="worksheet">
    <worksheetSource ref="A2:K32" sheet="Credit Test 2 (Data) "/>
  </cacheSource>
  <cacheFields count="11">
    <cacheField name="No" numFmtId="0">
      <sharedItems containsSemiMixedTypes="0" containsString="0" containsNumber="1" containsInteger="1" minValue="1" maxValue="30"/>
    </cacheField>
    <cacheField name="Student Name" numFmtId="0">
      <sharedItems count="30">
        <s v="Aminah"/>
        <s v="Vinoo"/>
        <s v="Ali "/>
        <s v="Chong"/>
        <s v="Amirul"/>
        <s v="Danial"/>
        <s v="Siva"/>
        <s v="Mugen"/>
        <s v="Abu"/>
        <s v="Sarah"/>
        <s v="Azri"/>
        <s v="Muthu"/>
        <s v="Zhen"/>
        <s v="Lim"/>
        <s v="Hadi"/>
        <s v="Eunice"/>
        <s v="Diana"/>
        <s v="Farah"/>
        <s v="Rose"/>
        <s v="Alina"/>
        <s v="Aisya"/>
        <s v="Amir"/>
        <s v="Kasturi"/>
        <s v="Sabrina"/>
        <s v="Aaron"/>
        <s v="Leong"/>
        <s v="Soraya"/>
        <s v="Suresh"/>
        <s v="Aizat"/>
        <s v="Dais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3" maxValue="5"/>
    </cacheField>
    <cacheField name="Allergy" numFmtId="0">
      <sharedItems containsBlank="1"/>
    </cacheField>
    <cacheField name="House" numFmtId="0">
      <sharedItems count="4">
        <s v="Red"/>
        <s v="Blue"/>
        <s v="Green"/>
        <s v="Yellow"/>
      </sharedItems>
    </cacheField>
    <cacheField name="Race" numFmtId="0">
      <sharedItems/>
    </cacheField>
    <cacheField name="Birth Month" numFmtId="0">
      <sharedItems/>
    </cacheField>
    <cacheField name="State of Birth" numFmtId="0">
      <sharedItems/>
    </cacheField>
    <cacheField name="School Branch" numFmtId="0">
      <sharedItems/>
    </cacheField>
    <cacheField name="Teach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x v="0"/>
    <x v="0"/>
    <n v="4"/>
    <s v="Nuts"/>
    <x v="0"/>
    <s v="Malay"/>
    <s v="January"/>
    <s v="Kuala Lumpur"/>
    <s v="Damansara"/>
    <s v="Dina"/>
  </r>
  <r>
    <n v="2"/>
    <x v="1"/>
    <x v="0"/>
    <n v="3"/>
    <m/>
    <x v="1"/>
    <s v="Indian"/>
    <s v="February"/>
    <s v="Selangor"/>
    <s v="Damansara"/>
    <s v="Dina"/>
  </r>
  <r>
    <n v="3"/>
    <x v="2"/>
    <x v="1"/>
    <n v="5"/>
    <s v="Seafood"/>
    <x v="0"/>
    <s v="Malay"/>
    <s v="November"/>
    <s v="Melaka"/>
    <s v="Damansara"/>
    <s v="Alex"/>
  </r>
  <r>
    <n v="4"/>
    <x v="3"/>
    <x v="1"/>
    <n v="3"/>
    <m/>
    <x v="0"/>
    <s v="Chinese"/>
    <s v="June"/>
    <s v="Negeri Sembilan"/>
    <s v="Melawati"/>
    <s v="Mira"/>
  </r>
  <r>
    <n v="5"/>
    <x v="4"/>
    <x v="1"/>
    <n v="4"/>
    <m/>
    <x v="1"/>
    <s v="Malay"/>
    <s v="July"/>
    <s v="Kuala Lumpur"/>
    <s v="Damansara"/>
    <s v="Dina"/>
  </r>
  <r>
    <n v="6"/>
    <x v="5"/>
    <x v="1"/>
    <n v="3"/>
    <m/>
    <x v="2"/>
    <s v="Chinese"/>
    <s v="January"/>
    <s v="Selangor"/>
    <s v="Melawati"/>
    <s v="Mira"/>
  </r>
  <r>
    <n v="7"/>
    <x v="6"/>
    <x v="1"/>
    <n v="4"/>
    <s v="Dairy"/>
    <x v="2"/>
    <s v="Indian"/>
    <s v="September"/>
    <s v="Kuala Lumpur"/>
    <s v="Damansara"/>
    <s v="Dina"/>
  </r>
  <r>
    <n v="8"/>
    <x v="7"/>
    <x v="1"/>
    <n v="5"/>
    <m/>
    <x v="1"/>
    <s v="Indian"/>
    <s v="March"/>
    <s v="Selangor"/>
    <s v="Damansara"/>
    <s v="Alex"/>
  </r>
  <r>
    <n v="9"/>
    <x v="8"/>
    <x v="1"/>
    <n v="4"/>
    <m/>
    <x v="2"/>
    <s v="Malay"/>
    <s v="August"/>
    <s v="Perak"/>
    <s v="Melawati"/>
    <s v="Aiman"/>
  </r>
  <r>
    <n v="10"/>
    <x v="9"/>
    <x v="0"/>
    <n v="4"/>
    <m/>
    <x v="3"/>
    <s v="Chinese"/>
    <s v="September"/>
    <s v="Kuala Lumpur"/>
    <s v="Damansara"/>
    <s v="Dina"/>
  </r>
  <r>
    <n v="11"/>
    <x v="10"/>
    <x v="1"/>
    <n v="3"/>
    <m/>
    <x v="1"/>
    <s v="Malay"/>
    <s v="June"/>
    <s v="Perak"/>
    <s v="Melawati"/>
    <s v="Mira"/>
  </r>
  <r>
    <n v="12"/>
    <x v="11"/>
    <x v="1"/>
    <n v="5"/>
    <m/>
    <x v="2"/>
    <s v="Indian"/>
    <s v="May "/>
    <s v="Melaka"/>
    <s v="Melawati"/>
    <s v="Aiman"/>
  </r>
  <r>
    <n v="13"/>
    <x v="12"/>
    <x v="1"/>
    <n v="4"/>
    <s v="Nuts"/>
    <x v="3"/>
    <s v="Chinese"/>
    <s v="December"/>
    <s v="Selangor"/>
    <s v="Melawati"/>
    <s v="Aiman"/>
  </r>
  <r>
    <n v="14"/>
    <x v="13"/>
    <x v="1"/>
    <n v="3"/>
    <m/>
    <x v="0"/>
    <s v="Chinese"/>
    <s v="May "/>
    <s v="Johor"/>
    <s v="Melawati"/>
    <s v="Mira"/>
  </r>
  <r>
    <n v="15"/>
    <x v="14"/>
    <x v="1"/>
    <n v="5"/>
    <m/>
    <x v="3"/>
    <s v="Malay"/>
    <s v="June"/>
    <s v="Negeri Sembilan"/>
    <s v="Damansara"/>
    <s v="Alex"/>
  </r>
  <r>
    <n v="16"/>
    <x v="15"/>
    <x v="0"/>
    <n v="4"/>
    <s v="Dairy"/>
    <x v="3"/>
    <s v="Chinese"/>
    <s v="May "/>
    <s v="Kuala Lumpur"/>
    <s v="Damansara"/>
    <s v="Dina"/>
  </r>
  <r>
    <n v="17"/>
    <x v="16"/>
    <x v="0"/>
    <n v="3"/>
    <m/>
    <x v="2"/>
    <s v="Malay"/>
    <s v="August"/>
    <s v="Selangor"/>
    <s v="Melawati"/>
    <s v="Mira"/>
  </r>
  <r>
    <n v="18"/>
    <x v="17"/>
    <x v="0"/>
    <n v="3"/>
    <m/>
    <x v="3"/>
    <s v="Malay"/>
    <s v="February"/>
    <s v="Selangor"/>
    <s v="Damansara"/>
    <s v="Dina"/>
  </r>
  <r>
    <n v="19"/>
    <x v="18"/>
    <x v="0"/>
    <n v="5"/>
    <m/>
    <x v="1"/>
    <s v="Indian"/>
    <s v="February"/>
    <s v="Kuala Lumpur"/>
    <s v="Melawati"/>
    <s v="Aiman"/>
  </r>
  <r>
    <n v="20"/>
    <x v="19"/>
    <x v="0"/>
    <n v="5"/>
    <s v="Nuts"/>
    <x v="0"/>
    <s v="Indian"/>
    <s v="August"/>
    <s v="Selangor"/>
    <s v="Damansara"/>
    <s v="Alex"/>
  </r>
  <r>
    <n v="21"/>
    <x v="20"/>
    <x v="0"/>
    <n v="5"/>
    <m/>
    <x v="2"/>
    <s v="Malay"/>
    <s v="August"/>
    <s v="Selangor"/>
    <s v="Melawati"/>
    <s v="Aiman"/>
  </r>
  <r>
    <n v="22"/>
    <x v="21"/>
    <x v="1"/>
    <n v="3"/>
    <m/>
    <x v="1"/>
    <s v="Malay"/>
    <s v="September"/>
    <s v="Selangor"/>
    <s v="Melawati"/>
    <s v="Mira"/>
  </r>
  <r>
    <n v="23"/>
    <x v="22"/>
    <x v="0"/>
    <n v="5"/>
    <m/>
    <x v="3"/>
    <s v="Indian"/>
    <s v="March"/>
    <s v="Melaka"/>
    <s v="Melawati"/>
    <s v="Aiman"/>
  </r>
  <r>
    <n v="24"/>
    <x v="23"/>
    <x v="0"/>
    <n v="4"/>
    <m/>
    <x v="0"/>
    <s v="Chinese"/>
    <s v="September"/>
    <s v="Negeri Sembilan"/>
    <s v="Damansara"/>
    <s v="Alex"/>
  </r>
  <r>
    <n v="25"/>
    <x v="24"/>
    <x v="1"/>
    <n v="4"/>
    <s v="Nuts"/>
    <x v="3"/>
    <s v="Chinese"/>
    <s v="January"/>
    <s v="Selangor"/>
    <s v="Melawati"/>
    <s v="Mira"/>
  </r>
  <r>
    <n v="26"/>
    <x v="25"/>
    <x v="1"/>
    <n v="3"/>
    <m/>
    <x v="3"/>
    <s v="Chinese"/>
    <s v="August"/>
    <s v="Kuala Lumpur"/>
    <s v="Melawati"/>
    <s v="Mira"/>
  </r>
  <r>
    <n v="27"/>
    <x v="26"/>
    <x v="0"/>
    <n v="4"/>
    <m/>
    <x v="0"/>
    <s v="Malay"/>
    <s v="January"/>
    <s v="Selangor"/>
    <s v="Damansara"/>
    <s v="Alex"/>
  </r>
  <r>
    <n v="28"/>
    <x v="27"/>
    <x v="1"/>
    <n v="5"/>
    <m/>
    <x v="1"/>
    <s v="Indian"/>
    <s v="September"/>
    <s v="Kuala Lumpur"/>
    <s v="Damansara"/>
    <s v="Alex"/>
  </r>
  <r>
    <n v="29"/>
    <x v="28"/>
    <x v="1"/>
    <n v="3"/>
    <s v="Seafood"/>
    <x v="2"/>
    <s v="Malay"/>
    <s v="November"/>
    <s v="Melaka"/>
    <s v="Damansara"/>
    <s v="Dina"/>
  </r>
  <r>
    <n v="30"/>
    <x v="29"/>
    <x v="0"/>
    <n v="4"/>
    <m/>
    <x v="2"/>
    <s v="Chinese"/>
    <s v="December"/>
    <s v="Kuala Lumpur"/>
    <s v="Damansara"/>
    <s v="Alex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8CA43-82EA-4B99-A02C-3C33036B1439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E8:F14" firstHeaderRow="2" firstDataRow="2" firstDataCol="1"/>
  <pivotFields count="11">
    <pivotField compact="0" outline="0" showAll="0"/>
    <pivotField compact="0" outline="0" showAll="0" defaultSubtotal="0">
      <items count="30">
        <item sd="0" x="24"/>
        <item x="8"/>
        <item x="20"/>
        <item x="28"/>
        <item x="2"/>
        <item x="19"/>
        <item x="0"/>
        <item x="21"/>
        <item x="4"/>
        <item x="10"/>
        <item x="3"/>
        <item x="29"/>
        <item x="5"/>
        <item x="16"/>
        <item x="15"/>
        <item x="17"/>
        <item x="14"/>
        <item x="22"/>
        <item x="25"/>
        <item x="13"/>
        <item x="7"/>
        <item x="11"/>
        <item x="18"/>
        <item x="23"/>
        <item x="9"/>
        <item x="6"/>
        <item x="26"/>
        <item x="27"/>
        <item x="1"/>
        <item x="12"/>
      </items>
    </pivotField>
    <pivotField compact="0" outline="0" showAll="0"/>
    <pivotField dataField="1" compact="0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ge" fld="3" subtotal="average" baseField="5" baseItem="0" numFmtId="164"/>
  </dataFields>
  <formats count="2">
    <format dxfId="3">
      <pivotArea outline="0" collapsedLevelsAreSubtotals="1" fieldPosition="0"/>
    </format>
    <format dxfId="2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16796-765D-417F-85C6-FEFDFF60A2CA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6:C38" firstHeaderRow="2" firstDataRow="2" firstDataCol="2"/>
  <pivotFields count="11">
    <pivotField compact="0" outline="0" showAll="0"/>
    <pivotField axis="axisRow" compact="0" outline="0" showAll="0" defaultSubtotal="0">
      <items count="30">
        <item x="24"/>
        <item x="8"/>
        <item x="20"/>
        <item x="28"/>
        <item x="2"/>
        <item x="19"/>
        <item x="0"/>
        <item x="21"/>
        <item x="4"/>
        <item x="10"/>
        <item x="3"/>
        <item x="29"/>
        <item x="5"/>
        <item x="16"/>
        <item x="15"/>
        <item x="17"/>
        <item x="14"/>
        <item x="22"/>
        <item x="25"/>
        <item x="13"/>
        <item x="7"/>
        <item x="11"/>
        <item x="18"/>
        <item x="23"/>
        <item x="9"/>
        <item x="6"/>
        <item x="26"/>
        <item x="27"/>
        <item x="1"/>
        <item x="12"/>
      </items>
    </pivotField>
    <pivotField compact="0" outline="0" showAll="0"/>
    <pivotField dataField="1" compact="0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"/>
    <field x="5"/>
  </rowFields>
  <rowItems count="31">
    <i>
      <x/>
      <x v="3"/>
    </i>
    <i>
      <x v="1"/>
      <x v="1"/>
    </i>
    <i>
      <x v="2"/>
      <x v="1"/>
    </i>
    <i>
      <x v="3"/>
      <x v="1"/>
    </i>
    <i>
      <x v="4"/>
      <x v="2"/>
    </i>
    <i>
      <x v="5"/>
      <x v="2"/>
    </i>
    <i>
      <x v="6"/>
      <x v="2"/>
    </i>
    <i>
      <x v="7"/>
      <x/>
    </i>
    <i>
      <x v="8"/>
      <x/>
    </i>
    <i>
      <x v="9"/>
      <x/>
    </i>
    <i>
      <x v="10"/>
      <x v="2"/>
    </i>
    <i>
      <x v="11"/>
      <x v="1"/>
    </i>
    <i>
      <x v="12"/>
      <x v="1"/>
    </i>
    <i>
      <x v="13"/>
      <x v="1"/>
    </i>
    <i>
      <x v="14"/>
      <x v="3"/>
    </i>
    <i>
      <x v="15"/>
      <x v="3"/>
    </i>
    <i>
      <x v="16"/>
      <x v="3"/>
    </i>
    <i>
      <x v="17"/>
      <x v="3"/>
    </i>
    <i>
      <x v="18"/>
      <x v="3"/>
    </i>
    <i>
      <x v="19"/>
      <x v="2"/>
    </i>
    <i>
      <x v="20"/>
      <x/>
    </i>
    <i>
      <x v="21"/>
      <x v="1"/>
    </i>
    <i>
      <x v="22"/>
      <x/>
    </i>
    <i>
      <x v="23"/>
      <x v="2"/>
    </i>
    <i>
      <x v="24"/>
      <x v="3"/>
    </i>
    <i>
      <x v="25"/>
      <x v="1"/>
    </i>
    <i>
      <x v="26"/>
      <x v="2"/>
    </i>
    <i>
      <x v="27"/>
      <x/>
    </i>
    <i>
      <x v="28"/>
      <x/>
    </i>
    <i>
      <x v="29"/>
      <x v="3"/>
    </i>
    <i t="grand">
      <x/>
    </i>
  </rowItems>
  <colItems count="1">
    <i/>
  </colItems>
  <dataFields count="1">
    <dataField name="Sum of Age" fld="3" baseField="0" baseItem="0" numFmtId="164"/>
  </dataFields>
  <formats count="2">
    <format dxfId="5">
      <pivotArea outline="0" collapsedLevelsAreSubtotals="1" fieldPosition="0"/>
    </format>
    <format dxfId="4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ADC804-866C-4BCB-A1F2-4EFEA02754EE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H19:I25" firstHeaderRow="2" firstDataRow="2" firstDataCol="1" rowPageCount="1" colPageCount="1"/>
  <pivotFields count="11">
    <pivotField compact="0" outline="0" showAll="0"/>
    <pivotField compact="0" outline="0" showAll="0" defaultSubtotal="0">
      <items count="30">
        <item sd="0" x="24"/>
        <item x="8"/>
        <item x="20"/>
        <item x="28"/>
        <item x="2"/>
        <item x="19"/>
        <item x="0"/>
        <item x="21"/>
        <item x="4"/>
        <item x="10"/>
        <item x="3"/>
        <item x="29"/>
        <item x="5"/>
        <item x="16"/>
        <item x="15"/>
        <item x="17"/>
        <item x="14"/>
        <item x="22"/>
        <item x="25"/>
        <item x="13"/>
        <item x="7"/>
        <item x="11"/>
        <item x="18"/>
        <item x="23"/>
        <item x="9"/>
        <item x="6"/>
        <item x="26"/>
        <item x="27"/>
        <item x="1"/>
        <item x="12"/>
      </items>
    </pivotField>
    <pivotField axis="axisPage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0" hier="-1"/>
  </pageFields>
  <dataFields count="1">
    <dataField name="Average of Age" fld="3" subtotal="average" baseField="5" baseItem="0" numFmtId="164"/>
  </dataFields>
  <formats count="2">
    <format dxfId="7">
      <pivotArea outline="0" collapsedLevelsAreSubtotals="1" fieldPosition="0"/>
    </format>
    <format dxfId="6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BB0AD-67EB-4A43-B345-3640CC360497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H8:I14" firstHeaderRow="2" firstDataRow="2" firstDataCol="1" rowPageCount="1" colPageCount="1"/>
  <pivotFields count="11">
    <pivotField compact="0" outline="0" showAll="0"/>
    <pivotField compact="0" outline="0" showAll="0" defaultSubtotal="0">
      <items count="30">
        <item sd="0" x="24"/>
        <item x="8"/>
        <item x="20"/>
        <item x="28"/>
        <item x="2"/>
        <item x="19"/>
        <item x="0"/>
        <item x="21"/>
        <item x="4"/>
        <item x="10"/>
        <item x="3"/>
        <item x="29"/>
        <item x="5"/>
        <item x="16"/>
        <item x="15"/>
        <item x="17"/>
        <item x="14"/>
        <item x="22"/>
        <item x="25"/>
        <item x="13"/>
        <item x="7"/>
        <item x="11"/>
        <item x="18"/>
        <item x="23"/>
        <item x="9"/>
        <item x="6"/>
        <item x="26"/>
        <item x="27"/>
        <item x="1"/>
        <item x="12"/>
      </items>
    </pivotField>
    <pivotField axis="axisPage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1" hier="-1"/>
  </pageFields>
  <dataFields count="1">
    <dataField name="Average of Age" fld="3" subtotal="average" baseField="5" baseItem="0" numFmtId="164"/>
  </dataFields>
  <formats count="2">
    <format dxfId="9">
      <pivotArea outline="0" collapsedLevelsAreSubtotals="1" fieldPosition="0"/>
    </format>
    <format dxfId="8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43AF-BE29-4A70-848A-801601381D67}">
  <dimension ref="A1:A30"/>
  <sheetViews>
    <sheetView tabSelected="1" workbookViewId="0"/>
  </sheetViews>
  <sheetFormatPr defaultRowHeight="15" x14ac:dyDescent="0.25"/>
  <cols>
    <col min="1" max="1" width="127" customWidth="1"/>
  </cols>
  <sheetData>
    <row r="1" spans="1:1" x14ac:dyDescent="0.25">
      <c r="A1" s="1" t="s">
        <v>1</v>
      </c>
    </row>
    <row r="3" spans="1:1" x14ac:dyDescent="0.25">
      <c r="A3" s="11" t="s">
        <v>0</v>
      </c>
    </row>
    <row r="5" spans="1:1" x14ac:dyDescent="0.25">
      <c r="A5" s="2" t="s">
        <v>92</v>
      </c>
    </row>
    <row r="6" spans="1:1" x14ac:dyDescent="0.25">
      <c r="A6" s="2" t="s">
        <v>93</v>
      </c>
    </row>
    <row r="7" spans="1:1" x14ac:dyDescent="0.25">
      <c r="A7" s="2" t="s">
        <v>94</v>
      </c>
    </row>
    <row r="9" spans="1:1" ht="18.600000000000001" customHeight="1" x14ac:dyDescent="0.25">
      <c r="A9" s="12" t="s">
        <v>5</v>
      </c>
    </row>
    <row r="10" spans="1:1" ht="18.75" customHeight="1" x14ac:dyDescent="0.25"/>
    <row r="11" spans="1:1" ht="44.25" customHeight="1" x14ac:dyDescent="0.25">
      <c r="A11" s="6" t="s">
        <v>97</v>
      </c>
    </row>
    <row r="12" spans="1:1" ht="26.25" customHeight="1" x14ac:dyDescent="0.25">
      <c r="A12" s="6" t="s">
        <v>98</v>
      </c>
    </row>
    <row r="13" spans="1:1" ht="37.5" customHeight="1" x14ac:dyDescent="0.25">
      <c r="A13" s="6" t="s">
        <v>99</v>
      </c>
    </row>
    <row r="14" spans="1:1" x14ac:dyDescent="0.25">
      <c r="A14" s="6"/>
    </row>
    <row r="15" spans="1:1" x14ac:dyDescent="0.25">
      <c r="A15" s="11" t="s">
        <v>2</v>
      </c>
    </row>
    <row r="17" spans="1:1" ht="19.5" customHeight="1" x14ac:dyDescent="0.25">
      <c r="A17" s="6" t="s">
        <v>95</v>
      </c>
    </row>
    <row r="18" spans="1:1" ht="19.5" customHeight="1" x14ac:dyDescent="0.25">
      <c r="A18" s="6" t="s">
        <v>96</v>
      </c>
    </row>
    <row r="20" spans="1:1" x14ac:dyDescent="0.25">
      <c r="A20" s="11" t="s">
        <v>3</v>
      </c>
    </row>
    <row r="21" spans="1:1" x14ac:dyDescent="0.25">
      <c r="A21" s="2"/>
    </row>
    <row r="22" spans="1:1" x14ac:dyDescent="0.25">
      <c r="A22" s="2" t="s">
        <v>100</v>
      </c>
    </row>
    <row r="23" spans="1:1" x14ac:dyDescent="0.25">
      <c r="A23" s="2" t="s">
        <v>101</v>
      </c>
    </row>
    <row r="24" spans="1:1" x14ac:dyDescent="0.25">
      <c r="A24" s="2" t="s">
        <v>102</v>
      </c>
    </row>
    <row r="25" spans="1:1" x14ac:dyDescent="0.25">
      <c r="A25" s="2" t="s">
        <v>103</v>
      </c>
    </row>
    <row r="27" spans="1:1" x14ac:dyDescent="0.25">
      <c r="A27" s="11" t="s">
        <v>4</v>
      </c>
    </row>
    <row r="28" spans="1:1" x14ac:dyDescent="0.25">
      <c r="A28" s="2"/>
    </row>
    <row r="29" spans="1:1" x14ac:dyDescent="0.25">
      <c r="A29" s="2" t="s">
        <v>104</v>
      </c>
    </row>
    <row r="30" spans="1:1" x14ac:dyDescent="0.25">
      <c r="A30" s="2" t="s">
        <v>105</v>
      </c>
    </row>
  </sheetData>
  <pageMargins left="0.7" right="0.7" top="0.75" bottom="0.75" header="0.3" footer="0.3"/>
  <headerFooter>
    <oddHeader>&amp;L&amp;"Calibri"&amp;10&amp;K000000 For Internal Use&amp;1#_x000D_</oddHeader>
    <oddFooter>&amp;L_x000D_&amp;1#&amp;"Calibri"&amp;10&amp;K000000 For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DEF58-57E3-4B53-AAA9-767FBDE62BDA}">
  <dimension ref="A2:N32"/>
  <sheetViews>
    <sheetView workbookViewId="0">
      <selection activeCell="A2" sqref="A2"/>
    </sheetView>
  </sheetViews>
  <sheetFormatPr defaultRowHeight="15" x14ac:dyDescent="0.25"/>
  <cols>
    <col min="2" max="2" width="13" customWidth="1"/>
    <col min="3" max="3" width="11.7109375" customWidth="1"/>
    <col min="8" max="8" width="11.5703125" customWidth="1"/>
    <col min="9" max="9" width="14.7109375" customWidth="1"/>
    <col min="10" max="10" width="12.42578125" bestFit="1" customWidth="1"/>
    <col min="11" max="11" width="10.5703125" customWidth="1"/>
  </cols>
  <sheetData>
    <row r="2" spans="1:14" x14ac:dyDescent="0.25">
      <c r="A2" s="3" t="s">
        <v>19</v>
      </c>
      <c r="B2" s="3" t="s">
        <v>80</v>
      </c>
      <c r="C2" s="3" t="s">
        <v>27</v>
      </c>
      <c r="D2" s="3" t="s">
        <v>6</v>
      </c>
      <c r="E2" s="3" t="s">
        <v>8</v>
      </c>
      <c r="F2" s="3" t="s">
        <v>7</v>
      </c>
      <c r="G2" s="3" t="s">
        <v>9</v>
      </c>
      <c r="H2" s="3" t="s">
        <v>10</v>
      </c>
      <c r="I2" s="3" t="s">
        <v>72</v>
      </c>
      <c r="J2" s="3" t="s">
        <v>61</v>
      </c>
      <c r="K2" s="3" t="s">
        <v>75</v>
      </c>
      <c r="L2" s="3"/>
      <c r="M2" s="3"/>
      <c r="N2" s="3"/>
    </row>
    <row r="3" spans="1:14" x14ac:dyDescent="0.25">
      <c r="A3" s="3">
        <v>1</v>
      </c>
      <c r="B3" s="3" t="s">
        <v>11</v>
      </c>
      <c r="C3" s="3" t="s">
        <v>28</v>
      </c>
      <c r="D3" s="3">
        <v>4</v>
      </c>
      <c r="E3" s="3" t="s">
        <v>42</v>
      </c>
      <c r="F3" s="3" t="s">
        <v>34</v>
      </c>
      <c r="G3" s="3" t="s">
        <v>38</v>
      </c>
      <c r="H3" s="3" t="s">
        <v>51</v>
      </c>
      <c r="I3" s="3" t="s">
        <v>45</v>
      </c>
      <c r="J3" s="3" t="s">
        <v>73</v>
      </c>
      <c r="K3" s="3" t="s">
        <v>76</v>
      </c>
      <c r="L3" s="3"/>
      <c r="M3" s="3"/>
      <c r="N3" s="3"/>
    </row>
    <row r="4" spans="1:14" x14ac:dyDescent="0.25">
      <c r="A4" s="3">
        <v>2</v>
      </c>
      <c r="B4" s="3" t="s">
        <v>12</v>
      </c>
      <c r="C4" s="3" t="s">
        <v>28</v>
      </c>
      <c r="D4" s="3">
        <v>3</v>
      </c>
      <c r="E4" s="3"/>
      <c r="F4" s="3" t="s">
        <v>35</v>
      </c>
      <c r="G4" s="3" t="s">
        <v>39</v>
      </c>
      <c r="H4" s="3" t="s">
        <v>52</v>
      </c>
      <c r="I4" s="3" t="s">
        <v>46</v>
      </c>
      <c r="J4" s="3" t="s">
        <v>73</v>
      </c>
      <c r="K4" s="3" t="s">
        <v>76</v>
      </c>
      <c r="L4" s="3"/>
      <c r="M4" s="3"/>
      <c r="N4" s="3"/>
    </row>
    <row r="5" spans="1:14" x14ac:dyDescent="0.25">
      <c r="A5" s="3">
        <v>3</v>
      </c>
      <c r="B5" s="3" t="s">
        <v>13</v>
      </c>
      <c r="C5" s="3" t="s">
        <v>29</v>
      </c>
      <c r="D5" s="3">
        <v>5</v>
      </c>
      <c r="E5" s="3" t="s">
        <v>44</v>
      </c>
      <c r="F5" s="3" t="s">
        <v>34</v>
      </c>
      <c r="G5" s="3" t="s">
        <v>38</v>
      </c>
      <c r="H5" s="3" t="s">
        <v>60</v>
      </c>
      <c r="I5" s="3" t="s">
        <v>50</v>
      </c>
      <c r="J5" s="3" t="s">
        <v>73</v>
      </c>
      <c r="K5" s="3" t="s">
        <v>77</v>
      </c>
      <c r="L5" s="3"/>
      <c r="M5" s="3"/>
      <c r="N5" s="3"/>
    </row>
    <row r="6" spans="1:14" x14ac:dyDescent="0.25">
      <c r="A6" s="3">
        <v>4</v>
      </c>
      <c r="B6" s="3" t="s">
        <v>14</v>
      </c>
      <c r="C6" s="3" t="s">
        <v>29</v>
      </c>
      <c r="D6" s="3">
        <v>3</v>
      </c>
      <c r="E6" s="3"/>
      <c r="F6" s="3" t="s">
        <v>34</v>
      </c>
      <c r="G6" s="3" t="s">
        <v>40</v>
      </c>
      <c r="H6" s="3" t="s">
        <v>55</v>
      </c>
      <c r="I6" s="3" t="s">
        <v>49</v>
      </c>
      <c r="J6" s="3" t="s">
        <v>74</v>
      </c>
      <c r="K6" s="3" t="s">
        <v>78</v>
      </c>
      <c r="L6" s="3"/>
      <c r="M6" s="3"/>
      <c r="N6" s="3"/>
    </row>
    <row r="7" spans="1:14" x14ac:dyDescent="0.25">
      <c r="A7" s="3">
        <v>5</v>
      </c>
      <c r="B7" s="3" t="s">
        <v>15</v>
      </c>
      <c r="C7" s="3" t="s">
        <v>29</v>
      </c>
      <c r="D7" s="3">
        <v>4</v>
      </c>
      <c r="E7" s="3"/>
      <c r="F7" s="3" t="s">
        <v>35</v>
      </c>
      <c r="G7" s="3" t="s">
        <v>38</v>
      </c>
      <c r="H7" s="3" t="s">
        <v>56</v>
      </c>
      <c r="I7" s="3" t="s">
        <v>45</v>
      </c>
      <c r="J7" s="3" t="s">
        <v>73</v>
      </c>
      <c r="K7" s="3" t="s">
        <v>76</v>
      </c>
      <c r="L7" s="3"/>
      <c r="M7" s="3"/>
      <c r="N7" s="3"/>
    </row>
    <row r="8" spans="1:14" x14ac:dyDescent="0.25">
      <c r="A8" s="3">
        <v>6</v>
      </c>
      <c r="B8" s="3" t="s">
        <v>21</v>
      </c>
      <c r="C8" s="3" t="s">
        <v>29</v>
      </c>
      <c r="D8" s="3">
        <v>3</v>
      </c>
      <c r="E8" s="3"/>
      <c r="F8" s="3" t="s">
        <v>36</v>
      </c>
      <c r="G8" s="3" t="s">
        <v>40</v>
      </c>
      <c r="H8" s="3" t="s">
        <v>51</v>
      </c>
      <c r="I8" s="3" t="s">
        <v>46</v>
      </c>
      <c r="J8" s="3" t="s">
        <v>74</v>
      </c>
      <c r="K8" s="3" t="s">
        <v>78</v>
      </c>
      <c r="L8" s="3"/>
      <c r="M8" s="3"/>
      <c r="N8" s="3"/>
    </row>
    <row r="9" spans="1:14" x14ac:dyDescent="0.25">
      <c r="A9" s="3">
        <v>7</v>
      </c>
      <c r="B9" s="3" t="s">
        <v>16</v>
      </c>
      <c r="C9" s="3" t="s">
        <v>29</v>
      </c>
      <c r="D9" s="3">
        <v>4</v>
      </c>
      <c r="E9" s="3" t="s">
        <v>43</v>
      </c>
      <c r="F9" s="3" t="s">
        <v>36</v>
      </c>
      <c r="G9" s="3" t="s">
        <v>39</v>
      </c>
      <c r="H9" s="3" t="s">
        <v>59</v>
      </c>
      <c r="I9" s="3" t="s">
        <v>45</v>
      </c>
      <c r="J9" s="3" t="s">
        <v>73</v>
      </c>
      <c r="K9" s="3" t="s">
        <v>76</v>
      </c>
      <c r="L9" s="3"/>
      <c r="M9" s="3"/>
      <c r="N9" s="3"/>
    </row>
    <row r="10" spans="1:14" x14ac:dyDescent="0.25">
      <c r="A10" s="3">
        <v>8</v>
      </c>
      <c r="B10" s="3" t="s">
        <v>17</v>
      </c>
      <c r="C10" s="3" t="s">
        <v>29</v>
      </c>
      <c r="D10" s="3">
        <v>5</v>
      </c>
      <c r="E10" s="3"/>
      <c r="F10" s="3" t="s">
        <v>35</v>
      </c>
      <c r="G10" s="3" t="s">
        <v>39</v>
      </c>
      <c r="H10" s="3" t="s">
        <v>53</v>
      </c>
      <c r="I10" s="3" t="s">
        <v>46</v>
      </c>
      <c r="J10" s="3" t="s">
        <v>73</v>
      </c>
      <c r="K10" s="3" t="s">
        <v>77</v>
      </c>
      <c r="L10" s="3"/>
      <c r="M10" s="3"/>
      <c r="N10" s="3"/>
    </row>
    <row r="11" spans="1:14" x14ac:dyDescent="0.25">
      <c r="A11" s="3">
        <v>9</v>
      </c>
      <c r="B11" s="3" t="s">
        <v>18</v>
      </c>
      <c r="C11" s="3" t="s">
        <v>29</v>
      </c>
      <c r="D11" s="3">
        <v>4</v>
      </c>
      <c r="E11" s="3"/>
      <c r="F11" s="3" t="s">
        <v>36</v>
      </c>
      <c r="G11" s="3" t="s">
        <v>38</v>
      </c>
      <c r="H11" s="3" t="s">
        <v>57</v>
      </c>
      <c r="I11" s="3" t="s">
        <v>47</v>
      </c>
      <c r="J11" s="3" t="s">
        <v>74</v>
      </c>
      <c r="K11" s="3" t="s">
        <v>79</v>
      </c>
      <c r="L11" s="3"/>
      <c r="M11" s="3"/>
      <c r="N11" s="3"/>
    </row>
    <row r="12" spans="1:14" x14ac:dyDescent="0.25">
      <c r="A12" s="3">
        <v>10</v>
      </c>
      <c r="B12" s="3" t="s">
        <v>41</v>
      </c>
      <c r="C12" s="3" t="s">
        <v>28</v>
      </c>
      <c r="D12" s="3">
        <v>4</v>
      </c>
      <c r="E12" s="3"/>
      <c r="F12" s="3" t="s">
        <v>37</v>
      </c>
      <c r="G12" s="3" t="s">
        <v>40</v>
      </c>
      <c r="H12" s="3" t="s">
        <v>59</v>
      </c>
      <c r="I12" s="3" t="s">
        <v>45</v>
      </c>
      <c r="J12" s="3" t="s">
        <v>73</v>
      </c>
      <c r="K12" s="3" t="s">
        <v>76</v>
      </c>
      <c r="L12" s="3"/>
      <c r="M12" s="3"/>
      <c r="N12" s="3"/>
    </row>
    <row r="13" spans="1:14" x14ac:dyDescent="0.25">
      <c r="A13" s="3">
        <v>11</v>
      </c>
      <c r="B13" s="3" t="s">
        <v>20</v>
      </c>
      <c r="C13" s="3" t="s">
        <v>29</v>
      </c>
      <c r="D13" s="3">
        <v>3</v>
      </c>
      <c r="E13" s="3"/>
      <c r="F13" s="3" t="s">
        <v>35</v>
      </c>
      <c r="G13" s="3" t="s">
        <v>38</v>
      </c>
      <c r="H13" s="3" t="s">
        <v>55</v>
      </c>
      <c r="I13" s="3" t="s">
        <v>47</v>
      </c>
      <c r="J13" s="3" t="s">
        <v>74</v>
      </c>
      <c r="K13" s="3" t="s">
        <v>78</v>
      </c>
      <c r="L13" s="3"/>
      <c r="M13" s="3"/>
      <c r="N13" s="3"/>
    </row>
    <row r="14" spans="1:14" x14ac:dyDescent="0.25">
      <c r="A14" s="3">
        <v>12</v>
      </c>
      <c r="B14" s="3" t="s">
        <v>22</v>
      </c>
      <c r="C14" s="3" t="s">
        <v>29</v>
      </c>
      <c r="D14" s="3">
        <v>5</v>
      </c>
      <c r="E14" s="3"/>
      <c r="F14" s="3" t="s">
        <v>36</v>
      </c>
      <c r="G14" s="3" t="s">
        <v>39</v>
      </c>
      <c r="H14" s="3" t="s">
        <v>54</v>
      </c>
      <c r="I14" s="3" t="s">
        <v>50</v>
      </c>
      <c r="J14" s="3" t="s">
        <v>74</v>
      </c>
      <c r="K14" s="3" t="s">
        <v>79</v>
      </c>
      <c r="L14" s="3"/>
      <c r="M14" s="3"/>
      <c r="N14" s="3"/>
    </row>
    <row r="15" spans="1:14" x14ac:dyDescent="0.25">
      <c r="A15" s="3">
        <v>13</v>
      </c>
      <c r="B15" s="3" t="s">
        <v>23</v>
      </c>
      <c r="C15" s="3" t="s">
        <v>29</v>
      </c>
      <c r="D15" s="3">
        <v>4</v>
      </c>
      <c r="E15" s="3" t="s">
        <v>42</v>
      </c>
      <c r="F15" s="3" t="s">
        <v>37</v>
      </c>
      <c r="G15" s="3" t="s">
        <v>40</v>
      </c>
      <c r="H15" s="3" t="s">
        <v>58</v>
      </c>
      <c r="I15" s="3" t="s">
        <v>46</v>
      </c>
      <c r="J15" s="3" t="s">
        <v>74</v>
      </c>
      <c r="K15" s="3" t="s">
        <v>79</v>
      </c>
      <c r="L15" s="3"/>
      <c r="M15" s="3"/>
      <c r="N15" s="3"/>
    </row>
    <row r="16" spans="1:14" x14ac:dyDescent="0.25">
      <c r="A16" s="3">
        <v>14</v>
      </c>
      <c r="B16" s="3" t="s">
        <v>24</v>
      </c>
      <c r="C16" s="3" t="s">
        <v>29</v>
      </c>
      <c r="D16" s="3">
        <v>3</v>
      </c>
      <c r="E16" s="3"/>
      <c r="F16" s="3" t="s">
        <v>34</v>
      </c>
      <c r="G16" s="3" t="s">
        <v>40</v>
      </c>
      <c r="H16" s="3" t="s">
        <v>54</v>
      </c>
      <c r="I16" s="3" t="s">
        <v>48</v>
      </c>
      <c r="J16" s="3" t="s">
        <v>74</v>
      </c>
      <c r="K16" s="3" t="s">
        <v>78</v>
      </c>
      <c r="L16" s="3"/>
      <c r="M16" s="3"/>
      <c r="N16" s="3"/>
    </row>
    <row r="17" spans="1:14" x14ac:dyDescent="0.25">
      <c r="A17" s="3">
        <v>15</v>
      </c>
      <c r="B17" s="3" t="s">
        <v>25</v>
      </c>
      <c r="C17" s="3" t="s">
        <v>29</v>
      </c>
      <c r="D17" s="3">
        <v>5</v>
      </c>
      <c r="E17" s="3"/>
      <c r="F17" s="3" t="s">
        <v>37</v>
      </c>
      <c r="G17" s="3" t="s">
        <v>38</v>
      </c>
      <c r="H17" s="3" t="s">
        <v>55</v>
      </c>
      <c r="I17" s="3" t="s">
        <v>49</v>
      </c>
      <c r="J17" s="3" t="s">
        <v>73</v>
      </c>
      <c r="K17" s="3" t="s">
        <v>77</v>
      </c>
      <c r="L17" s="3"/>
      <c r="M17" s="3"/>
      <c r="N17" s="3"/>
    </row>
    <row r="18" spans="1:14" x14ac:dyDescent="0.25">
      <c r="A18" s="3">
        <v>16</v>
      </c>
      <c r="B18" s="3" t="s">
        <v>26</v>
      </c>
      <c r="C18" s="3" t="s">
        <v>28</v>
      </c>
      <c r="D18" s="3">
        <v>4</v>
      </c>
      <c r="E18" s="3" t="s">
        <v>43</v>
      </c>
      <c r="F18" s="3" t="s">
        <v>37</v>
      </c>
      <c r="G18" s="3" t="s">
        <v>40</v>
      </c>
      <c r="H18" s="3" t="s">
        <v>54</v>
      </c>
      <c r="I18" s="3" t="s">
        <v>45</v>
      </c>
      <c r="J18" s="3" t="s">
        <v>73</v>
      </c>
      <c r="K18" s="3" t="s">
        <v>76</v>
      </c>
      <c r="L18" s="3"/>
      <c r="M18" s="3"/>
      <c r="N18" s="3"/>
    </row>
    <row r="19" spans="1:14" x14ac:dyDescent="0.25">
      <c r="A19" s="3">
        <v>17</v>
      </c>
      <c r="B19" s="3" t="s">
        <v>30</v>
      </c>
      <c r="C19" s="3" t="s">
        <v>28</v>
      </c>
      <c r="D19" s="3">
        <v>3</v>
      </c>
      <c r="E19" s="3"/>
      <c r="F19" s="3" t="s">
        <v>36</v>
      </c>
      <c r="G19" s="3" t="s">
        <v>38</v>
      </c>
      <c r="H19" s="3" t="s">
        <v>57</v>
      </c>
      <c r="I19" s="3" t="s">
        <v>46</v>
      </c>
      <c r="J19" s="3" t="s">
        <v>74</v>
      </c>
      <c r="K19" s="3" t="s">
        <v>78</v>
      </c>
      <c r="L19" s="3"/>
      <c r="M19" s="3"/>
      <c r="N19" s="3"/>
    </row>
    <row r="20" spans="1:14" x14ac:dyDescent="0.25">
      <c r="A20" s="3">
        <v>18</v>
      </c>
      <c r="B20" s="3" t="s">
        <v>31</v>
      </c>
      <c r="C20" s="3" t="s">
        <v>28</v>
      </c>
      <c r="D20" s="3">
        <v>3</v>
      </c>
      <c r="E20" s="3"/>
      <c r="F20" s="3" t="s">
        <v>37</v>
      </c>
      <c r="G20" s="3" t="s">
        <v>38</v>
      </c>
      <c r="H20" s="3" t="s">
        <v>52</v>
      </c>
      <c r="I20" s="3" t="s">
        <v>46</v>
      </c>
      <c r="J20" s="3" t="s">
        <v>73</v>
      </c>
      <c r="K20" s="3" t="s">
        <v>76</v>
      </c>
      <c r="L20" s="3"/>
      <c r="M20" s="3"/>
      <c r="N20" s="3"/>
    </row>
    <row r="21" spans="1:14" x14ac:dyDescent="0.25">
      <c r="A21" s="3">
        <v>19</v>
      </c>
      <c r="B21" s="3" t="s">
        <v>32</v>
      </c>
      <c r="C21" s="3" t="s">
        <v>28</v>
      </c>
      <c r="D21" s="3">
        <v>5</v>
      </c>
      <c r="E21" s="3"/>
      <c r="F21" s="3" t="s">
        <v>35</v>
      </c>
      <c r="G21" s="3" t="s">
        <v>39</v>
      </c>
      <c r="H21" s="3" t="s">
        <v>52</v>
      </c>
      <c r="I21" s="3" t="s">
        <v>45</v>
      </c>
      <c r="J21" s="3" t="s">
        <v>74</v>
      </c>
      <c r="K21" s="3" t="s">
        <v>79</v>
      </c>
      <c r="L21" s="3"/>
      <c r="M21" s="3"/>
      <c r="N21" s="3"/>
    </row>
    <row r="22" spans="1:14" x14ac:dyDescent="0.25">
      <c r="A22" s="3">
        <v>20</v>
      </c>
      <c r="B22" s="3" t="s">
        <v>33</v>
      </c>
      <c r="C22" s="3" t="s">
        <v>28</v>
      </c>
      <c r="D22" s="3">
        <v>5</v>
      </c>
      <c r="E22" s="3" t="s">
        <v>42</v>
      </c>
      <c r="F22" s="3" t="s">
        <v>34</v>
      </c>
      <c r="G22" s="3" t="s">
        <v>39</v>
      </c>
      <c r="H22" s="3" t="s">
        <v>57</v>
      </c>
      <c r="I22" s="3" t="s">
        <v>46</v>
      </c>
      <c r="J22" s="3" t="s">
        <v>73</v>
      </c>
      <c r="K22" s="3" t="s">
        <v>77</v>
      </c>
      <c r="L22" s="3"/>
      <c r="M22" s="3"/>
      <c r="N22" s="3"/>
    </row>
    <row r="23" spans="1:14" x14ac:dyDescent="0.25">
      <c r="A23" s="3">
        <v>21</v>
      </c>
      <c r="B23" s="3" t="s">
        <v>62</v>
      </c>
      <c r="C23" s="3" t="s">
        <v>28</v>
      </c>
      <c r="D23" s="3">
        <v>5</v>
      </c>
      <c r="E23" s="3"/>
      <c r="F23" s="3" t="s">
        <v>36</v>
      </c>
      <c r="G23" s="3" t="s">
        <v>38</v>
      </c>
      <c r="H23" s="3" t="s">
        <v>57</v>
      </c>
      <c r="I23" s="3" t="s">
        <v>46</v>
      </c>
      <c r="J23" s="3" t="s">
        <v>74</v>
      </c>
      <c r="K23" s="3" t="s">
        <v>79</v>
      </c>
    </row>
    <row r="24" spans="1:14" x14ac:dyDescent="0.25">
      <c r="A24" s="3">
        <v>22</v>
      </c>
      <c r="B24" s="3" t="s">
        <v>67</v>
      </c>
      <c r="C24" s="3" t="s">
        <v>29</v>
      </c>
      <c r="D24" s="3">
        <v>3</v>
      </c>
      <c r="E24" s="3"/>
      <c r="F24" s="3" t="s">
        <v>35</v>
      </c>
      <c r="G24" s="3" t="s">
        <v>38</v>
      </c>
      <c r="H24" s="3" t="s">
        <v>59</v>
      </c>
      <c r="I24" s="3" t="s">
        <v>46</v>
      </c>
      <c r="J24" s="3" t="s">
        <v>74</v>
      </c>
      <c r="K24" s="3" t="s">
        <v>78</v>
      </c>
    </row>
    <row r="25" spans="1:14" x14ac:dyDescent="0.25">
      <c r="A25" s="3">
        <v>23</v>
      </c>
      <c r="B25" s="3" t="s">
        <v>64</v>
      </c>
      <c r="C25" s="3" t="s">
        <v>28</v>
      </c>
      <c r="D25" s="3">
        <v>5</v>
      </c>
      <c r="E25" s="3"/>
      <c r="F25" s="3" t="s">
        <v>37</v>
      </c>
      <c r="G25" s="3" t="s">
        <v>39</v>
      </c>
      <c r="H25" s="3" t="s">
        <v>53</v>
      </c>
      <c r="I25" s="3" t="s">
        <v>50</v>
      </c>
      <c r="J25" s="3" t="s">
        <v>74</v>
      </c>
      <c r="K25" s="3" t="s">
        <v>79</v>
      </c>
    </row>
    <row r="26" spans="1:14" x14ac:dyDescent="0.25">
      <c r="A26" s="3">
        <v>24</v>
      </c>
      <c r="B26" s="3" t="s">
        <v>63</v>
      </c>
      <c r="C26" s="3" t="s">
        <v>28</v>
      </c>
      <c r="D26" s="3">
        <v>4</v>
      </c>
      <c r="E26" s="3"/>
      <c r="F26" s="3" t="s">
        <v>34</v>
      </c>
      <c r="G26" s="3" t="s">
        <v>40</v>
      </c>
      <c r="H26" s="3" t="s">
        <v>59</v>
      </c>
      <c r="I26" s="3" t="s">
        <v>49</v>
      </c>
      <c r="J26" s="3" t="s">
        <v>73</v>
      </c>
      <c r="K26" s="3" t="s">
        <v>77</v>
      </c>
    </row>
    <row r="27" spans="1:14" x14ac:dyDescent="0.25">
      <c r="A27" s="3">
        <v>25</v>
      </c>
      <c r="B27" s="3" t="s">
        <v>65</v>
      </c>
      <c r="C27" s="3" t="s">
        <v>29</v>
      </c>
      <c r="D27" s="3">
        <v>4</v>
      </c>
      <c r="E27" s="3" t="s">
        <v>42</v>
      </c>
      <c r="F27" s="3" t="s">
        <v>37</v>
      </c>
      <c r="G27" s="3" t="s">
        <v>40</v>
      </c>
      <c r="H27" s="3" t="s">
        <v>51</v>
      </c>
      <c r="I27" s="3" t="s">
        <v>46</v>
      </c>
      <c r="J27" s="3" t="s">
        <v>74</v>
      </c>
      <c r="K27" s="3" t="s">
        <v>78</v>
      </c>
    </row>
    <row r="28" spans="1:14" x14ac:dyDescent="0.25">
      <c r="A28" s="3">
        <v>26</v>
      </c>
      <c r="B28" s="3" t="s">
        <v>66</v>
      </c>
      <c r="C28" s="3" t="s">
        <v>29</v>
      </c>
      <c r="D28" s="3">
        <v>3</v>
      </c>
      <c r="E28" s="3"/>
      <c r="F28" s="3" t="s">
        <v>37</v>
      </c>
      <c r="G28" s="3" t="s">
        <v>40</v>
      </c>
      <c r="H28" s="3" t="s">
        <v>57</v>
      </c>
      <c r="I28" s="3" t="s">
        <v>45</v>
      </c>
      <c r="J28" s="3" t="s">
        <v>74</v>
      </c>
      <c r="K28" s="3" t="s">
        <v>78</v>
      </c>
    </row>
    <row r="29" spans="1:14" x14ac:dyDescent="0.25">
      <c r="A29" s="3">
        <v>27</v>
      </c>
      <c r="B29" s="3" t="s">
        <v>68</v>
      </c>
      <c r="C29" s="3" t="s">
        <v>28</v>
      </c>
      <c r="D29" s="3">
        <v>4</v>
      </c>
      <c r="F29" s="3" t="s">
        <v>34</v>
      </c>
      <c r="G29" s="3" t="s">
        <v>38</v>
      </c>
      <c r="H29" s="3" t="s">
        <v>51</v>
      </c>
      <c r="I29" s="3" t="s">
        <v>46</v>
      </c>
      <c r="J29" s="3" t="s">
        <v>73</v>
      </c>
      <c r="K29" s="3" t="s">
        <v>77</v>
      </c>
    </row>
    <row r="30" spans="1:14" x14ac:dyDescent="0.25">
      <c r="A30" s="3">
        <v>28</v>
      </c>
      <c r="B30" s="3" t="s">
        <v>69</v>
      </c>
      <c r="C30" s="3" t="s">
        <v>29</v>
      </c>
      <c r="D30" s="3">
        <v>5</v>
      </c>
      <c r="F30" s="3" t="s">
        <v>35</v>
      </c>
      <c r="G30" s="3" t="s">
        <v>39</v>
      </c>
      <c r="H30" s="3" t="s">
        <v>59</v>
      </c>
      <c r="I30" s="3" t="s">
        <v>45</v>
      </c>
      <c r="J30" s="3" t="s">
        <v>73</v>
      </c>
      <c r="K30" s="3" t="s">
        <v>77</v>
      </c>
    </row>
    <row r="31" spans="1:14" x14ac:dyDescent="0.25">
      <c r="A31" s="3">
        <v>29</v>
      </c>
      <c r="B31" s="3" t="s">
        <v>70</v>
      </c>
      <c r="C31" s="3" t="s">
        <v>29</v>
      </c>
      <c r="D31" s="3">
        <v>3</v>
      </c>
      <c r="E31" s="3" t="s">
        <v>44</v>
      </c>
      <c r="F31" s="3" t="s">
        <v>36</v>
      </c>
      <c r="G31" s="3" t="s">
        <v>38</v>
      </c>
      <c r="H31" s="3" t="s">
        <v>60</v>
      </c>
      <c r="I31" s="3" t="s">
        <v>50</v>
      </c>
      <c r="J31" s="3" t="s">
        <v>73</v>
      </c>
      <c r="K31" s="3" t="s">
        <v>76</v>
      </c>
    </row>
    <row r="32" spans="1:14" x14ac:dyDescent="0.25">
      <c r="A32" s="3">
        <v>30</v>
      </c>
      <c r="B32" s="3" t="s">
        <v>71</v>
      </c>
      <c r="C32" s="3" t="s">
        <v>28</v>
      </c>
      <c r="D32" s="3">
        <v>4</v>
      </c>
      <c r="F32" s="3" t="s">
        <v>36</v>
      </c>
      <c r="G32" s="3" t="s">
        <v>40</v>
      </c>
      <c r="H32" s="3" t="s">
        <v>58</v>
      </c>
      <c r="I32" s="3" t="s">
        <v>45</v>
      </c>
      <c r="J32" s="3" t="s">
        <v>73</v>
      </c>
      <c r="K32" s="3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E2751-64AE-41FA-BE32-4C82A0D554B7}">
  <dimension ref="A1:P38"/>
  <sheetViews>
    <sheetView workbookViewId="0"/>
  </sheetViews>
  <sheetFormatPr defaultRowHeight="15" x14ac:dyDescent="0.25"/>
  <cols>
    <col min="1" max="1" width="35" customWidth="1"/>
    <col min="3" max="3" width="10" style="8" bestFit="1" customWidth="1"/>
    <col min="4" max="4" width="9" customWidth="1"/>
    <col min="5" max="5" width="25.140625" customWidth="1"/>
    <col min="6" max="6" width="9.140625" style="8"/>
    <col min="8" max="8" width="27.7109375" customWidth="1"/>
    <col min="11" max="11" width="23.42578125" customWidth="1"/>
    <col min="12" max="12" width="11.85546875" customWidth="1"/>
    <col min="13" max="13" width="12.85546875" customWidth="1"/>
    <col min="14" max="14" width="15.5703125" customWidth="1"/>
    <col min="15" max="15" width="17.42578125" customWidth="1"/>
    <col min="16" max="16" width="15" customWidth="1"/>
  </cols>
  <sheetData>
    <row r="1" spans="1:16" x14ac:dyDescent="0.25">
      <c r="A1" s="1" t="s">
        <v>84</v>
      </c>
    </row>
    <row r="2" spans="1:16" x14ac:dyDescent="0.25">
      <c r="A2" s="1"/>
    </row>
    <row r="3" spans="1:16" x14ac:dyDescent="0.25">
      <c r="A3" s="1" t="s">
        <v>83</v>
      </c>
      <c r="K3" s="1" t="s">
        <v>85</v>
      </c>
    </row>
    <row r="4" spans="1:16" s="7" customFormat="1" ht="40.5" customHeight="1" x14ac:dyDescent="0.25">
      <c r="A4" s="7" t="s">
        <v>87</v>
      </c>
      <c r="C4" s="9"/>
      <c r="E4" s="7" t="s">
        <v>82</v>
      </c>
      <c r="F4" s="9"/>
      <c r="H4" s="2" t="s">
        <v>81</v>
      </c>
      <c r="K4" s="7" t="s">
        <v>86</v>
      </c>
    </row>
    <row r="6" spans="1:16" x14ac:dyDescent="0.25">
      <c r="A6" s="5" t="s">
        <v>89</v>
      </c>
      <c r="C6" s="10"/>
      <c r="H6" s="5" t="s">
        <v>27</v>
      </c>
      <c r="I6" t="s">
        <v>29</v>
      </c>
      <c r="K6" s="3" t="s">
        <v>80</v>
      </c>
      <c r="L6" s="3" t="s">
        <v>9</v>
      </c>
      <c r="M6" s="3" t="s">
        <v>10</v>
      </c>
      <c r="N6" s="3" t="s">
        <v>72</v>
      </c>
      <c r="O6" s="3" t="s">
        <v>61</v>
      </c>
      <c r="P6" s="3" t="s">
        <v>75</v>
      </c>
    </row>
    <row r="7" spans="1:16" x14ac:dyDescent="0.25">
      <c r="A7" s="5" t="s">
        <v>80</v>
      </c>
      <c r="B7" s="5" t="s">
        <v>7</v>
      </c>
      <c r="C7" t="s">
        <v>90</v>
      </c>
      <c r="K7" s="3" t="s">
        <v>11</v>
      </c>
      <c r="L7" s="3" t="s">
        <v>38</v>
      </c>
      <c r="M7" s="3" t="s">
        <v>51</v>
      </c>
      <c r="N7" s="3" t="s">
        <v>45</v>
      </c>
      <c r="O7" s="3" t="s">
        <v>73</v>
      </c>
      <c r="P7" s="3" t="s">
        <v>76</v>
      </c>
    </row>
    <row r="8" spans="1:16" x14ac:dyDescent="0.25">
      <c r="A8" t="s">
        <v>65</v>
      </c>
      <c r="B8" t="s">
        <v>37</v>
      </c>
      <c r="C8" s="10">
        <v>4</v>
      </c>
      <c r="E8" s="5" t="s">
        <v>91</v>
      </c>
      <c r="H8" s="5" t="s">
        <v>91</v>
      </c>
      <c r="I8" s="10"/>
      <c r="K8" s="3" t="s">
        <v>12</v>
      </c>
      <c r="L8" s="3" t="s">
        <v>39</v>
      </c>
      <c r="M8" s="3" t="s">
        <v>52</v>
      </c>
      <c r="N8" s="3" t="s">
        <v>46</v>
      </c>
      <c r="O8" s="3" t="s">
        <v>73</v>
      </c>
      <c r="P8" s="3" t="s">
        <v>76</v>
      </c>
    </row>
    <row r="9" spans="1:16" x14ac:dyDescent="0.25">
      <c r="A9" t="s">
        <v>18</v>
      </c>
      <c r="B9" t="s">
        <v>36</v>
      </c>
      <c r="C9" s="10">
        <v>4</v>
      </c>
      <c r="E9" s="5" t="s">
        <v>7</v>
      </c>
      <c r="F9" s="8" t="s">
        <v>90</v>
      </c>
      <c r="H9" s="5" t="s">
        <v>7</v>
      </c>
      <c r="I9" t="s">
        <v>90</v>
      </c>
      <c r="K9" s="3" t="s">
        <v>13</v>
      </c>
      <c r="L9" s="3" t="s">
        <v>38</v>
      </c>
      <c r="M9" s="3" t="s">
        <v>60</v>
      </c>
      <c r="N9" s="3" t="s">
        <v>50</v>
      </c>
      <c r="O9" s="3" t="s">
        <v>73</v>
      </c>
      <c r="P9" s="3" t="s">
        <v>77</v>
      </c>
    </row>
    <row r="10" spans="1:16" x14ac:dyDescent="0.25">
      <c r="A10" t="s">
        <v>62</v>
      </c>
      <c r="B10" t="s">
        <v>36</v>
      </c>
      <c r="C10" s="10">
        <v>5</v>
      </c>
      <c r="E10" t="s">
        <v>35</v>
      </c>
      <c r="F10" s="8">
        <v>4</v>
      </c>
      <c r="H10" t="s">
        <v>35</v>
      </c>
      <c r="I10" s="10">
        <v>4</v>
      </c>
      <c r="K10" s="3" t="s">
        <v>14</v>
      </c>
      <c r="L10" s="3" t="s">
        <v>40</v>
      </c>
      <c r="M10" s="3" t="s">
        <v>55</v>
      </c>
      <c r="N10" s="3" t="s">
        <v>49</v>
      </c>
      <c r="O10" s="4" t="str">
        <f>_xlfn.XLOOKUP('Credit Test 2 (Answered) '!K10,'Credit Test 2 (Data) '!B:B,'Credit Test 2 (Data) '!J:J)</f>
        <v>Melawati</v>
      </c>
      <c r="P10" s="3" t="s">
        <v>78</v>
      </c>
    </row>
    <row r="11" spans="1:16" x14ac:dyDescent="0.25">
      <c r="A11" t="s">
        <v>70</v>
      </c>
      <c r="B11" t="s">
        <v>36</v>
      </c>
      <c r="C11" s="10">
        <v>3</v>
      </c>
      <c r="E11" t="s">
        <v>36</v>
      </c>
      <c r="F11" s="8">
        <v>3.875</v>
      </c>
      <c r="H11" t="s">
        <v>36</v>
      </c>
      <c r="I11" s="10">
        <v>3.8</v>
      </c>
      <c r="K11" s="3" t="s">
        <v>15</v>
      </c>
      <c r="L11" s="3" t="s">
        <v>38</v>
      </c>
      <c r="M11" s="3" t="s">
        <v>56</v>
      </c>
      <c r="N11" s="3" t="s">
        <v>45</v>
      </c>
      <c r="O11" s="3" t="s">
        <v>73</v>
      </c>
      <c r="P11" s="3" t="s">
        <v>76</v>
      </c>
    </row>
    <row r="12" spans="1:16" x14ac:dyDescent="0.25">
      <c r="A12" t="s">
        <v>13</v>
      </c>
      <c r="B12" t="s">
        <v>34</v>
      </c>
      <c r="C12" s="10">
        <v>5</v>
      </c>
      <c r="E12" t="s">
        <v>34</v>
      </c>
      <c r="F12" s="8">
        <v>4</v>
      </c>
      <c r="H12" t="s">
        <v>34</v>
      </c>
      <c r="I12" s="10">
        <v>3.6666666666666665</v>
      </c>
      <c r="K12" s="3" t="s">
        <v>21</v>
      </c>
      <c r="L12" s="3" t="s">
        <v>40</v>
      </c>
      <c r="M12" s="3" t="s">
        <v>51</v>
      </c>
      <c r="N12" s="3" t="s">
        <v>46</v>
      </c>
      <c r="O12" s="3" t="s">
        <v>74</v>
      </c>
      <c r="P12" s="3" t="s">
        <v>78</v>
      </c>
    </row>
    <row r="13" spans="1:16" x14ac:dyDescent="0.25">
      <c r="A13" t="s">
        <v>33</v>
      </c>
      <c r="B13" t="s">
        <v>34</v>
      </c>
      <c r="C13" s="10">
        <v>5</v>
      </c>
      <c r="E13" t="s">
        <v>37</v>
      </c>
      <c r="F13" s="8">
        <v>4</v>
      </c>
      <c r="H13" t="s">
        <v>37</v>
      </c>
      <c r="I13" s="10">
        <v>4</v>
      </c>
      <c r="K13" s="3" t="s">
        <v>16</v>
      </c>
      <c r="L13" s="3" t="s">
        <v>39</v>
      </c>
      <c r="M13" s="3" t="s">
        <v>59</v>
      </c>
      <c r="N13" s="3" t="s">
        <v>45</v>
      </c>
      <c r="O13" s="3" t="s">
        <v>73</v>
      </c>
      <c r="P13" s="3" t="s">
        <v>76</v>
      </c>
    </row>
    <row r="14" spans="1:16" x14ac:dyDescent="0.25">
      <c r="A14" t="s">
        <v>11</v>
      </c>
      <c r="B14" t="s">
        <v>34</v>
      </c>
      <c r="C14" s="10">
        <v>4</v>
      </c>
      <c r="E14" t="s">
        <v>88</v>
      </c>
      <c r="F14" s="8">
        <v>3.9666666666666668</v>
      </c>
      <c r="H14" t="s">
        <v>88</v>
      </c>
      <c r="I14" s="10">
        <v>3.8823529411764706</v>
      </c>
      <c r="K14" s="3" t="s">
        <v>17</v>
      </c>
      <c r="L14" s="4" t="str">
        <f>_xlfn.XLOOKUP('Credit Test 2 (Answered) '!K14,'Credit Test 2 (Data) '!B:B,'Credit Test 2 (Data) '!G:G)</f>
        <v>Indian</v>
      </c>
      <c r="M14" s="3" t="s">
        <v>53</v>
      </c>
      <c r="N14" s="3" t="s">
        <v>46</v>
      </c>
      <c r="O14" s="3" t="s">
        <v>73</v>
      </c>
      <c r="P14" s="3" t="s">
        <v>77</v>
      </c>
    </row>
    <row r="15" spans="1:16" x14ac:dyDescent="0.25">
      <c r="A15" t="s">
        <v>67</v>
      </c>
      <c r="B15" t="s">
        <v>35</v>
      </c>
      <c r="C15" s="10">
        <v>3</v>
      </c>
      <c r="K15" s="3" t="s">
        <v>18</v>
      </c>
      <c r="L15" s="3" t="s">
        <v>38</v>
      </c>
      <c r="M15" s="3" t="s">
        <v>57</v>
      </c>
      <c r="N15" s="3" t="s">
        <v>47</v>
      </c>
      <c r="O15" s="3" t="s">
        <v>74</v>
      </c>
      <c r="P15" s="3" t="s">
        <v>79</v>
      </c>
    </row>
    <row r="16" spans="1:16" x14ac:dyDescent="0.25">
      <c r="A16" t="s">
        <v>15</v>
      </c>
      <c r="B16" t="s">
        <v>35</v>
      </c>
      <c r="C16" s="10">
        <v>4</v>
      </c>
      <c r="K16" s="3" t="s">
        <v>41</v>
      </c>
      <c r="L16" s="3" t="s">
        <v>40</v>
      </c>
      <c r="M16" s="3" t="s">
        <v>59</v>
      </c>
      <c r="N16" s="3" t="s">
        <v>45</v>
      </c>
      <c r="O16" s="3" t="s">
        <v>73</v>
      </c>
      <c r="P16" s="3" t="s">
        <v>76</v>
      </c>
    </row>
    <row r="17" spans="1:16" x14ac:dyDescent="0.25">
      <c r="A17" t="s">
        <v>20</v>
      </c>
      <c r="B17" t="s">
        <v>35</v>
      </c>
      <c r="C17" s="10">
        <v>3</v>
      </c>
      <c r="H17" s="5" t="s">
        <v>27</v>
      </c>
      <c r="I17" t="s">
        <v>28</v>
      </c>
      <c r="K17" s="3" t="s">
        <v>20</v>
      </c>
      <c r="L17" s="3" t="s">
        <v>38</v>
      </c>
      <c r="M17" s="3" t="s">
        <v>55</v>
      </c>
      <c r="N17" s="3" t="s">
        <v>47</v>
      </c>
      <c r="O17" s="3" t="s">
        <v>74</v>
      </c>
      <c r="P17" s="3" t="s">
        <v>78</v>
      </c>
    </row>
    <row r="18" spans="1:16" x14ac:dyDescent="0.25">
      <c r="A18" t="s">
        <v>14</v>
      </c>
      <c r="B18" t="s">
        <v>34</v>
      </c>
      <c r="C18" s="10">
        <v>3</v>
      </c>
      <c r="K18" s="3" t="s">
        <v>22</v>
      </c>
      <c r="L18" s="3" t="s">
        <v>39</v>
      </c>
      <c r="M18" s="3" t="s">
        <v>54</v>
      </c>
      <c r="N18" s="3" t="s">
        <v>50</v>
      </c>
      <c r="O18" s="3" t="s">
        <v>74</v>
      </c>
      <c r="P18" s="3" t="s">
        <v>79</v>
      </c>
    </row>
    <row r="19" spans="1:16" x14ac:dyDescent="0.25">
      <c r="A19" t="s">
        <v>71</v>
      </c>
      <c r="B19" t="s">
        <v>36</v>
      </c>
      <c r="C19" s="10">
        <v>4</v>
      </c>
      <c r="H19" s="5" t="s">
        <v>91</v>
      </c>
      <c r="I19" s="10"/>
      <c r="K19" s="3" t="s">
        <v>23</v>
      </c>
      <c r="L19" s="3" t="s">
        <v>40</v>
      </c>
      <c r="M19" s="3" t="s">
        <v>58</v>
      </c>
      <c r="N19" s="3" t="s">
        <v>46</v>
      </c>
      <c r="O19" s="4" t="str">
        <f>_xlfn.XLOOKUP('Credit Test 2 (Answered) '!K19,'Credit Test 2 (Data) '!B:B,'Credit Test 2 (Data) '!J:J)</f>
        <v>Melawati</v>
      </c>
      <c r="P19" s="3" t="s">
        <v>79</v>
      </c>
    </row>
    <row r="20" spans="1:16" x14ac:dyDescent="0.25">
      <c r="A20" t="s">
        <v>21</v>
      </c>
      <c r="B20" t="s">
        <v>36</v>
      </c>
      <c r="C20" s="10">
        <v>3</v>
      </c>
      <c r="H20" s="5" t="s">
        <v>7</v>
      </c>
      <c r="I20" t="s">
        <v>90</v>
      </c>
      <c r="K20" s="3" t="s">
        <v>24</v>
      </c>
      <c r="L20" s="3" t="s">
        <v>40</v>
      </c>
      <c r="M20" s="3" t="s">
        <v>54</v>
      </c>
      <c r="N20" s="3" t="s">
        <v>48</v>
      </c>
      <c r="O20" s="3" t="s">
        <v>74</v>
      </c>
      <c r="P20" s="3" t="s">
        <v>78</v>
      </c>
    </row>
    <row r="21" spans="1:16" x14ac:dyDescent="0.25">
      <c r="A21" t="s">
        <v>30</v>
      </c>
      <c r="B21" t="s">
        <v>36</v>
      </c>
      <c r="C21" s="10">
        <v>3</v>
      </c>
      <c r="H21" t="s">
        <v>35</v>
      </c>
      <c r="I21" s="10">
        <v>4</v>
      </c>
      <c r="K21" s="3" t="s">
        <v>25</v>
      </c>
      <c r="L21" s="3" t="s">
        <v>38</v>
      </c>
      <c r="M21" s="3" t="s">
        <v>55</v>
      </c>
      <c r="N21" s="4" t="str">
        <f>_xlfn.XLOOKUP(K21,'Credit Test 2 (Data) '!B:B,'Credit Test 2 (Data) '!I:I)</f>
        <v>Negeri Sembilan</v>
      </c>
      <c r="O21" s="3" t="s">
        <v>73</v>
      </c>
      <c r="P21" s="3" t="s">
        <v>77</v>
      </c>
    </row>
    <row r="22" spans="1:16" x14ac:dyDescent="0.25">
      <c r="A22" t="s">
        <v>26</v>
      </c>
      <c r="B22" t="s">
        <v>37</v>
      </c>
      <c r="C22" s="10">
        <v>4</v>
      </c>
      <c r="H22" t="s">
        <v>36</v>
      </c>
      <c r="I22" s="10">
        <v>4</v>
      </c>
      <c r="K22" s="3" t="s">
        <v>26</v>
      </c>
      <c r="L22" s="3" t="s">
        <v>40</v>
      </c>
      <c r="M22" s="3" t="s">
        <v>54</v>
      </c>
      <c r="N22" s="3" t="s">
        <v>45</v>
      </c>
      <c r="O22" s="3" t="s">
        <v>73</v>
      </c>
      <c r="P22" s="3" t="s">
        <v>76</v>
      </c>
    </row>
    <row r="23" spans="1:16" x14ac:dyDescent="0.25">
      <c r="A23" t="s">
        <v>31</v>
      </c>
      <c r="B23" t="s">
        <v>37</v>
      </c>
      <c r="C23" s="10">
        <v>3</v>
      </c>
      <c r="H23" t="s">
        <v>34</v>
      </c>
      <c r="I23" s="10">
        <v>4.25</v>
      </c>
      <c r="K23" s="3" t="s">
        <v>30</v>
      </c>
      <c r="L23" s="3" t="s">
        <v>38</v>
      </c>
      <c r="M23" s="3" t="s">
        <v>57</v>
      </c>
      <c r="N23" s="3" t="s">
        <v>46</v>
      </c>
      <c r="O23" s="3" t="s">
        <v>74</v>
      </c>
      <c r="P23" s="3" t="s">
        <v>78</v>
      </c>
    </row>
    <row r="24" spans="1:16" x14ac:dyDescent="0.25">
      <c r="A24" t="s">
        <v>25</v>
      </c>
      <c r="B24" t="s">
        <v>37</v>
      </c>
      <c r="C24" s="10">
        <v>5</v>
      </c>
      <c r="H24" t="s">
        <v>37</v>
      </c>
      <c r="I24" s="10">
        <v>4</v>
      </c>
      <c r="K24" s="3" t="s">
        <v>31</v>
      </c>
      <c r="L24" s="3" t="s">
        <v>38</v>
      </c>
      <c r="M24" s="3" t="s">
        <v>52</v>
      </c>
      <c r="N24" s="3" t="s">
        <v>46</v>
      </c>
      <c r="O24" s="3" t="s">
        <v>73</v>
      </c>
      <c r="P24" s="3" t="s">
        <v>76</v>
      </c>
    </row>
    <row r="25" spans="1:16" x14ac:dyDescent="0.25">
      <c r="A25" t="s">
        <v>64</v>
      </c>
      <c r="B25" t="s">
        <v>37</v>
      </c>
      <c r="C25" s="10">
        <v>5</v>
      </c>
      <c r="H25" t="s">
        <v>88</v>
      </c>
      <c r="I25" s="10">
        <v>4.0769230769230766</v>
      </c>
      <c r="K25" s="3" t="s">
        <v>32</v>
      </c>
      <c r="L25" s="3" t="s">
        <v>39</v>
      </c>
      <c r="M25" s="3" t="s">
        <v>52</v>
      </c>
      <c r="N25" s="3" t="s">
        <v>45</v>
      </c>
      <c r="O25" s="3" t="s">
        <v>74</v>
      </c>
      <c r="P25" s="3" t="s">
        <v>79</v>
      </c>
    </row>
    <row r="26" spans="1:16" x14ac:dyDescent="0.25">
      <c r="A26" t="s">
        <v>66</v>
      </c>
      <c r="B26" t="s">
        <v>37</v>
      </c>
      <c r="C26" s="10">
        <v>3</v>
      </c>
      <c r="K26" s="3" t="s">
        <v>33</v>
      </c>
      <c r="L26" s="3" t="s">
        <v>39</v>
      </c>
      <c r="M26" s="3" t="s">
        <v>57</v>
      </c>
      <c r="N26" s="3" t="s">
        <v>46</v>
      </c>
      <c r="O26" s="3" t="s">
        <v>73</v>
      </c>
      <c r="P26" s="3" t="s">
        <v>77</v>
      </c>
    </row>
    <row r="27" spans="1:16" x14ac:dyDescent="0.25">
      <c r="A27" t="s">
        <v>24</v>
      </c>
      <c r="B27" t="s">
        <v>34</v>
      </c>
      <c r="C27" s="10">
        <v>3</v>
      </c>
      <c r="K27" s="3" t="s">
        <v>62</v>
      </c>
      <c r="L27" s="3" t="s">
        <v>38</v>
      </c>
      <c r="M27" s="3" t="s">
        <v>57</v>
      </c>
      <c r="N27" s="3" t="s">
        <v>46</v>
      </c>
      <c r="O27" s="3" t="s">
        <v>74</v>
      </c>
      <c r="P27" s="4" t="str">
        <f>_xlfn.XLOOKUP(K27,'Credit Test 2 (Data) '!B:B,'Credit Test 2 (Data) '!K:K)</f>
        <v>Aiman</v>
      </c>
    </row>
    <row r="28" spans="1:16" x14ac:dyDescent="0.25">
      <c r="A28" t="s">
        <v>17</v>
      </c>
      <c r="B28" t="s">
        <v>35</v>
      </c>
      <c r="C28" s="10">
        <v>5</v>
      </c>
      <c r="K28" s="3" t="s">
        <v>67</v>
      </c>
      <c r="L28" s="3" t="s">
        <v>38</v>
      </c>
      <c r="M28" s="3" t="s">
        <v>59</v>
      </c>
      <c r="N28" s="3" t="s">
        <v>46</v>
      </c>
      <c r="O28" s="3" t="s">
        <v>74</v>
      </c>
      <c r="P28" s="3" t="s">
        <v>78</v>
      </c>
    </row>
    <row r="29" spans="1:16" x14ac:dyDescent="0.25">
      <c r="A29" t="s">
        <v>22</v>
      </c>
      <c r="B29" t="s">
        <v>36</v>
      </c>
      <c r="C29" s="10">
        <v>5</v>
      </c>
      <c r="K29" s="3" t="s">
        <v>64</v>
      </c>
      <c r="L29" s="3" t="s">
        <v>39</v>
      </c>
      <c r="M29" s="3" t="s">
        <v>53</v>
      </c>
      <c r="N29" s="3" t="s">
        <v>50</v>
      </c>
      <c r="O29" s="3" t="s">
        <v>74</v>
      </c>
      <c r="P29" s="3" t="s">
        <v>79</v>
      </c>
    </row>
    <row r="30" spans="1:16" x14ac:dyDescent="0.25">
      <c r="A30" t="s">
        <v>32</v>
      </c>
      <c r="B30" t="s">
        <v>35</v>
      </c>
      <c r="C30" s="10">
        <v>5</v>
      </c>
      <c r="K30" s="3" t="s">
        <v>63</v>
      </c>
      <c r="L30" s="3" t="s">
        <v>40</v>
      </c>
      <c r="M30" s="3" t="s">
        <v>59</v>
      </c>
      <c r="N30" s="3" t="s">
        <v>49</v>
      </c>
      <c r="O30" s="3" t="s">
        <v>73</v>
      </c>
      <c r="P30" s="3" t="s">
        <v>77</v>
      </c>
    </row>
    <row r="31" spans="1:16" x14ac:dyDescent="0.25">
      <c r="A31" t="s">
        <v>63</v>
      </c>
      <c r="B31" t="s">
        <v>34</v>
      </c>
      <c r="C31" s="10">
        <v>4</v>
      </c>
      <c r="K31" s="3" t="s">
        <v>65</v>
      </c>
      <c r="L31" s="3" t="s">
        <v>40</v>
      </c>
      <c r="M31" s="4" t="str">
        <f>_xlfn.XLOOKUP(K31,'Credit Test 2 (Data) '!B:B,'Credit Test 2 (Data) '!H:H)</f>
        <v>January</v>
      </c>
      <c r="N31" s="3" t="s">
        <v>46</v>
      </c>
      <c r="O31" s="3" t="s">
        <v>74</v>
      </c>
      <c r="P31" s="3" t="s">
        <v>78</v>
      </c>
    </row>
    <row r="32" spans="1:16" x14ac:dyDescent="0.25">
      <c r="A32" t="s">
        <v>41</v>
      </c>
      <c r="B32" t="s">
        <v>37</v>
      </c>
      <c r="C32" s="10">
        <v>4</v>
      </c>
      <c r="K32" s="3" t="s">
        <v>66</v>
      </c>
      <c r="L32" s="3" t="s">
        <v>40</v>
      </c>
      <c r="M32" s="3" t="s">
        <v>57</v>
      </c>
      <c r="N32" s="3" t="s">
        <v>45</v>
      </c>
      <c r="O32" s="3" t="s">
        <v>74</v>
      </c>
      <c r="P32" s="3" t="s">
        <v>78</v>
      </c>
    </row>
    <row r="33" spans="1:16" x14ac:dyDescent="0.25">
      <c r="A33" t="s">
        <v>16</v>
      </c>
      <c r="B33" t="s">
        <v>36</v>
      </c>
      <c r="C33" s="10">
        <v>4</v>
      </c>
      <c r="K33" s="3" t="s">
        <v>68</v>
      </c>
      <c r="L33" s="3" t="s">
        <v>38</v>
      </c>
      <c r="M33" s="3" t="s">
        <v>51</v>
      </c>
      <c r="N33" s="3" t="s">
        <v>46</v>
      </c>
      <c r="O33" s="3" t="s">
        <v>73</v>
      </c>
      <c r="P33" s="3" t="s">
        <v>77</v>
      </c>
    </row>
    <row r="34" spans="1:16" x14ac:dyDescent="0.25">
      <c r="A34" t="s">
        <v>68</v>
      </c>
      <c r="B34" t="s">
        <v>34</v>
      </c>
      <c r="C34" s="10">
        <v>4</v>
      </c>
      <c r="K34" s="3" t="s">
        <v>69</v>
      </c>
      <c r="L34" s="3" t="s">
        <v>39</v>
      </c>
      <c r="M34" s="3" t="s">
        <v>59</v>
      </c>
      <c r="N34" s="3" t="s">
        <v>45</v>
      </c>
      <c r="O34" s="3" t="s">
        <v>73</v>
      </c>
      <c r="P34" s="3" t="s">
        <v>77</v>
      </c>
    </row>
    <row r="35" spans="1:16" x14ac:dyDescent="0.25">
      <c r="A35" t="s">
        <v>69</v>
      </c>
      <c r="B35" t="s">
        <v>35</v>
      </c>
      <c r="C35" s="10">
        <v>5</v>
      </c>
      <c r="K35" s="3" t="s">
        <v>70</v>
      </c>
      <c r="L35" s="3" t="s">
        <v>38</v>
      </c>
      <c r="M35" s="3" t="s">
        <v>60</v>
      </c>
      <c r="N35" s="3" t="s">
        <v>50</v>
      </c>
      <c r="O35" s="4" t="str">
        <f>_xlfn.XLOOKUP('Credit Test 2 (Answered) '!K35,'Credit Test 2 (Data) '!B:B,'Credit Test 2 (Data) '!J:J)</f>
        <v>Damansara</v>
      </c>
      <c r="P35" s="3" t="s">
        <v>76</v>
      </c>
    </row>
    <row r="36" spans="1:16" x14ac:dyDescent="0.25">
      <c r="A36" t="s">
        <v>12</v>
      </c>
      <c r="B36" t="s">
        <v>35</v>
      </c>
      <c r="C36" s="10">
        <v>3</v>
      </c>
      <c r="K36" s="3" t="s">
        <v>71</v>
      </c>
      <c r="L36" s="3" t="s">
        <v>40</v>
      </c>
      <c r="M36" s="3" t="s">
        <v>58</v>
      </c>
      <c r="N36" s="3" t="s">
        <v>45</v>
      </c>
      <c r="O36" s="3" t="s">
        <v>73</v>
      </c>
      <c r="P36" s="3" t="s">
        <v>77</v>
      </c>
    </row>
    <row r="37" spans="1:16" x14ac:dyDescent="0.25">
      <c r="A37" t="s">
        <v>23</v>
      </c>
      <c r="B37" t="s">
        <v>37</v>
      </c>
      <c r="C37" s="10">
        <v>4</v>
      </c>
    </row>
    <row r="38" spans="1:16" x14ac:dyDescent="0.25">
      <c r="A38" t="s">
        <v>88</v>
      </c>
      <c r="C38" s="10">
        <v>119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Credit Test 1 (Answered)</vt:lpstr>
      <vt:lpstr>Credit Test 2 (Data) </vt:lpstr>
      <vt:lpstr>Credit Test 2 (Answered) </vt:lpstr>
    </vt:vector>
  </TitlesOfParts>
  <Company>Ambank M Bhd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RAFIK ZAHRIN BIN SUBHAN</dc:creator>
  <cp:lastModifiedBy>Muhammad Syahid Bin Abd Halid</cp:lastModifiedBy>
  <dcterms:created xsi:type="dcterms:W3CDTF">2026-06-23T09:21:55Z</dcterms:created>
  <dcterms:modified xsi:type="dcterms:W3CDTF">2026-07-16T08:49:02Z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40acaa-4003-452c-8503-ac04ffd07434_Enabled">
    <vt:lpwstr>true</vt:lpwstr>
  </property>
  <property fmtid="{D5CDD505-2E9C-101B-9397-08002B2CF9AE}" pid="3" name="MSIP_Label_e040acaa-4003-452c-8503-ac04ffd07434_SetDate">
    <vt:lpwstr>2026-06-23T09:22:12Z</vt:lpwstr>
  </property>
  <property fmtid="{D5CDD505-2E9C-101B-9397-08002B2CF9AE}" pid="4" name="MSIP_Label_e040acaa-4003-452c-8503-ac04ffd07434_Method">
    <vt:lpwstr>Standard</vt:lpwstr>
  </property>
  <property fmtid="{D5CDD505-2E9C-101B-9397-08002B2CF9AE}" pid="5" name="MSIP_Label_e040acaa-4003-452c-8503-ac04ffd07434_Name">
    <vt:lpwstr>For Internal Use_Label</vt:lpwstr>
  </property>
  <property fmtid="{D5CDD505-2E9C-101B-9397-08002B2CF9AE}" pid="6" name="MSIP_Label_e040acaa-4003-452c-8503-ac04ffd07434_SiteId">
    <vt:lpwstr>29c606c9-79fd-439f-810b-9338a4e27aa8</vt:lpwstr>
  </property>
  <property fmtid="{D5CDD505-2E9C-101B-9397-08002B2CF9AE}" pid="7" name="MSIP_Label_e040acaa-4003-452c-8503-ac04ffd07434_ActionId">
    <vt:lpwstr>025effed-65d4-481b-84d8-d0c7a6d85c62</vt:lpwstr>
  </property>
  <property fmtid="{D5CDD505-2E9C-101B-9397-08002B2CF9AE}" pid="8" name="MSIP_Label_e040acaa-4003-452c-8503-ac04ffd07434_ContentBits">
    <vt:lpwstr>3</vt:lpwstr>
  </property>
  <property fmtid="{D5CDD505-2E9C-101B-9397-08002B2CF9AE}" pid="9" name="MSIP_Label_e040acaa-4003-452c-8503-ac04ffd07434_Tag">
    <vt:lpwstr>10, 3, 0, 1</vt:lpwstr>
  </property>
</Properties>
</file>